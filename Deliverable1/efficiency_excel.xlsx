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i\Desktop\ENGG 319\Deliverable1\"/>
    </mc:Choice>
  </mc:AlternateContent>
  <xr:revisionPtr revIDLastSave="0" documentId="13_ncr:1_{5B1454F4-7678-43DF-B4AB-B9E1A26F8330}" xr6:coauthVersionLast="47" xr6:coauthVersionMax="47" xr10:uidLastSave="{00000000-0000-0000-0000-000000000000}"/>
  <bookViews>
    <workbookView xWindow="-110" yWindow="-110" windowWidth="25820" windowHeight="16220" xr2:uid="{A7265F3D-5DAB-4041-A4E0-237F4705C4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<sst xmlns="http://schemas.openxmlformats.org/spreadsheetml/2006/main" count="9" uniqueCount="9">
  <si>
    <t>Gasoline (MPG)</t>
  </si>
  <si>
    <t>Diesel (MPG)</t>
  </si>
  <si>
    <t>count</t>
  </si>
  <si>
    <t>Gasoline</t>
  </si>
  <si>
    <t>Diesel</t>
  </si>
  <si>
    <t>mean</t>
  </si>
  <si>
    <t>std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</si>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</sst>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BC8B9-DBE8-4A00-A73E-09BB27E0BCBF}">
  <dimension ref="A1:F16"/>
  <sheetViews>
    <sheetView tabSelected="1" workbookViewId="0">
      <selection activeCell="F12" sqref="F12"/>
    </sheetView>
  </sheetViews>
  <sheetFormatPr defaultRowHeight="14.5" x14ac:dyDescent="0.35"/>
  <cols>
    <col min="1" max="1" width="13.453125" bestFit="1" customWidth="1"/>
    <col min="2" max="2" width="11.36328125" bestFit="1" customWidth="1"/>
  </cols>
  <sheetData>
    <row r="1" spans="1:6" x14ac:dyDescent="0.35">
      <c r="A1" t="s">
        <v>0</v>
      </c>
      <c r="B1" t="s">
        <v>1</v>
      </c>
      <c r="E1" t="s">
        <v>3</v>
      </c>
      <c r="F1" t="s">
        <v>4</v>
      </c>
    </row>
    <row r="2" spans="1:6" x14ac:dyDescent="0.35">
      <c r="A2">
        <v>22</v>
      </c>
      <c r="B2">
        <v>35</v>
      </c>
      <c r="D2" t="s">
        <v>2</v>
      </c>
      <c r="E2">
        <f>COUNT(A2:A16)</f>
        <v>15</v>
      </c>
      <c r="F2">
        <f>COUNT(B2:B16)</f>
        <v>15</v>
      </c>
    </row>
    <row r="3" spans="1:6" x14ac:dyDescent="0.35">
      <c r="A3">
        <v>25</v>
      </c>
      <c r="B3">
        <v>38</v>
      </c>
      <c r="D3" t="s">
        <v>5</v>
      </c>
      <c r="E3">
        <f>AVERAGE(A2:A16)</f>
        <v>26.533333333333335</v>
      </c>
      <c r="F3">
        <f>AVERAGE(B2:B16)</f>
        <v>36.666666666666664</v>
      </c>
    </row>
    <row r="4" spans="1:6" x14ac:dyDescent="0.35">
      <c r="A4">
        <v>28</v>
      </c>
      <c r="B4">
        <v>40</v>
      </c>
      <c r="D4" t="s">
        <v>6</v>
      </c>
      <c r="E4">
        <f>_xlfn.STDEV.S(A2:A16)</f>
        <v>3.1365738056189998</v>
      </c>
      <c r="F4">
        <f>_xlfn.STDEV.S(B2:B16)</f>
        <v>2.3502786055720128</v>
      </c>
    </row>
    <row r="5" spans="1:6" x14ac:dyDescent="0.35">
      <c r="A5">
        <v>30</v>
      </c>
      <c r="B5">
        <v>37</v>
      </c>
      <c r="D5" t="s">
        <v>7</v>
      </c>
      <c r="E5">
        <f>MIN(A2:A16)</f>
        <v>22</v>
      </c>
      <c r="F5">
        <f>MIN(B2:B16)</f>
        <v>33</v>
      </c>
    </row>
    <row r="6" spans="1:6" x14ac:dyDescent="0.35">
      <c r="A6">
        <v>27</v>
      </c>
      <c r="B6">
        <v>36</v>
      </c>
      <c r="D6" s="1">
        <v>0.25</v>
      </c>
      <c r="E6">
        <f>_xlfn.PERCENTILE.INC(A2:A16, 0.25)</f>
        <v>24.5</v>
      </c>
      <c r="F6">
        <f>_xlfn.PERCENTILE.INC(B2:B16, 0.25)</f>
        <v>35</v>
      </c>
    </row>
    <row r="7" spans="1:6" x14ac:dyDescent="0.35">
      <c r="A7">
        <v>26</v>
      </c>
      <c r="B7">
        <v>39</v>
      </c>
      <c r="D7" s="1">
        <v>0.5</v>
      </c>
      <c r="E7">
        <f>_xlfn.PERCENTILE.INC(A2:A16,0.5)</f>
        <v>26</v>
      </c>
      <c r="F7">
        <f>_xlfn.PERCENTILE.INC(B2:B16,0.5)</f>
        <v>37</v>
      </c>
    </row>
    <row r="8" spans="1:6" x14ac:dyDescent="0.35">
      <c r="A8">
        <v>24</v>
      </c>
      <c r="B8">
        <v>34</v>
      </c>
      <c r="D8" s="1">
        <v>0.75</v>
      </c>
      <c r="E8">
        <f>_xlfn.PERCENTILE.INC(A2:A16,0.75)</f>
        <v>28.5</v>
      </c>
      <c r="F8">
        <f>_xlfn.PERCENTILE.INC(B2:B16,0.75)</f>
        <v>38.5</v>
      </c>
    </row>
    <row r="9" spans="1:6" x14ac:dyDescent="0.35">
      <c r="A9">
        <v>29</v>
      </c>
      <c r="B9">
        <v>38</v>
      </c>
      <c r="D9" t="s">
        <v>8</v>
      </c>
      <c r="E9">
        <f>MAX(A2:A16)</f>
        <v>32</v>
      </c>
      <c r="F9">
        <f>MAX(B2:B16)</f>
        <v>40</v>
      </c>
    </row>
    <row r="10" spans="1:6" x14ac:dyDescent="0.35">
      <c r="A10">
        <v>23</v>
      </c>
      <c r="B10">
        <v>33</v>
      </c>
    </row>
    <row r="11" spans="1:6" x14ac:dyDescent="0.35">
      <c r="A11">
        <v>31</v>
      </c>
      <c r="B11">
        <v>37</v>
      </c>
    </row>
    <row r="12" spans="1:6" x14ac:dyDescent="0.35">
      <c r="A12">
        <v>22</v>
      </c>
      <c r="B12">
        <v>35</v>
      </c>
    </row>
    <row r="13" spans="1:6" x14ac:dyDescent="0.35">
      <c r="A13">
        <v>25</v>
      </c>
      <c r="B13">
        <v>39</v>
      </c>
    </row>
    <row r="14" spans="1:6" x14ac:dyDescent="0.35">
      <c r="A14">
        <v>28</v>
      </c>
      <c r="B14">
        <v>40</v>
      </c>
    </row>
    <row r="15" spans="1:6" x14ac:dyDescent="0.35">
      <c r="A15">
        <v>32</v>
      </c>
      <c r="B15">
        <v>36</v>
      </c>
    </row>
    <row r="16" spans="1:6" x14ac:dyDescent="0.35">
      <c r="A16">
        <v>26</v>
      </c>
      <c r="B16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Jeet JOSHI</dc:creator>
  <cp:lastModifiedBy>Jeet JOSHI</cp:lastModifiedBy>
  <dcterms:created xsi:type="dcterms:W3CDTF">2026-09-22T23:37:05Z</dcterms:created>
  <dcterms:modified xsi:type="dcterms:W3CDTF">2026-09-24T18:29:53Z</dcterms:modified>
</cp:coreProperties>
</file>